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uno.FATECLAB\Downloads\"/>
    </mc:Choice>
  </mc:AlternateContent>
  <xr:revisionPtr revIDLastSave="0" documentId="8_{7A2F3DF0-FCED-404B-91A0-6C2FB71578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role de Peças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B5" i="1"/>
  <c r="A5" i="1"/>
  <c r="J10" i="1"/>
  <c r="J11" i="1"/>
  <c r="J12" i="1"/>
  <c r="J13" i="1"/>
  <c r="J14" i="1"/>
  <c r="J15" i="1"/>
  <c r="J16" i="1"/>
  <c r="J17" i="1"/>
  <c r="J18" i="1"/>
  <c r="J19" i="1"/>
  <c r="J20" i="1"/>
  <c r="J9" i="1"/>
  <c r="J22" i="1"/>
  <c r="J23" i="1"/>
  <c r="J24" i="1"/>
  <c r="J25" i="1"/>
  <c r="J26" i="1"/>
  <c r="J27" i="1"/>
  <c r="J28" i="1"/>
  <c r="J21" i="1"/>
  <c r="I10" i="1"/>
  <c r="K10" i="1" s="1"/>
  <c r="L10" i="1" s="1"/>
  <c r="I11" i="1"/>
  <c r="K11" i="1" s="1"/>
  <c r="L11" i="1" s="1"/>
  <c r="I12" i="1"/>
  <c r="K12" i="1" s="1"/>
  <c r="L12" i="1" s="1"/>
  <c r="I13" i="1"/>
  <c r="K13" i="1" s="1"/>
  <c r="L13" i="1" s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I24" i="1"/>
  <c r="K24" i="1" s="1"/>
  <c r="L24" i="1" s="1"/>
  <c r="I25" i="1"/>
  <c r="K25" i="1" s="1"/>
  <c r="L25" i="1" s="1"/>
  <c r="I26" i="1"/>
  <c r="K26" i="1" s="1"/>
  <c r="L26" i="1" s="1"/>
  <c r="I27" i="1"/>
  <c r="K27" i="1" s="1"/>
  <c r="L27" i="1" s="1"/>
  <c r="I28" i="1"/>
  <c r="K28" i="1" s="1"/>
  <c r="L28" i="1" s="1"/>
  <c r="I9" i="1"/>
  <c r="K9" i="1" s="1"/>
  <c r="L9" i="1" s="1"/>
  <c r="D5" i="1" s="1"/>
</calcChain>
</file>

<file path=xl/sharedStrings.xml><?xml version="1.0" encoding="utf-8"?>
<sst xmlns="http://schemas.openxmlformats.org/spreadsheetml/2006/main" count="123" uniqueCount="96">
  <si>
    <t>CONTROLE DE PEÇAS AERONÁUTICAS | ALERTAS AUTOMÁTICOS</t>
  </si>
  <si>
    <t>Exercício Excel V • Formatação condicional • E • OU • SEERRO | Dados fictícios para fins didáticos</t>
  </si>
  <si>
    <t>ITENS CADASTRADOS</t>
  </si>
  <si>
    <t>ESTOQUE CRÍTICO</t>
  </si>
  <si>
    <t>INSPEÇÃO PRÓXIMA / VENCIDA</t>
  </si>
  <si>
    <t>LIBERAÇÃO BLOQUEADA</t>
  </si>
  <si>
    <t>Código</t>
  </si>
  <si>
    <t>Componente</t>
  </si>
  <si>
    <t>Categoria</t>
  </si>
  <si>
    <t>Aeronave / Aplicação</t>
  </si>
  <si>
    <t>Estoque</t>
  </si>
  <si>
    <t>Mínimo</t>
  </si>
  <si>
    <t>Última inspeção</t>
  </si>
  <si>
    <t>Próxima inspeção</t>
  </si>
  <si>
    <t>Dias restantes</t>
  </si>
  <si>
    <t>Reposição</t>
  </si>
  <si>
    <t>Inspeção</t>
  </si>
  <si>
    <t>Liberação</t>
  </si>
  <si>
    <t>PN-101</t>
  </si>
  <si>
    <t>Filtro de óleo</t>
  </si>
  <si>
    <t>Motor</t>
  </si>
  <si>
    <t>Cessna 172</t>
  </si>
  <si>
    <t>PN-102</t>
  </si>
  <si>
    <t>Pastilha de freio</t>
  </si>
  <si>
    <t>Frenagem</t>
  </si>
  <si>
    <t>Piper PA-28</t>
  </si>
  <si>
    <t>PN-103</t>
  </si>
  <si>
    <t>Mangueira hidráulica</t>
  </si>
  <si>
    <t>Hidráulica</t>
  </si>
  <si>
    <t>Embraer EMB-110</t>
  </si>
  <si>
    <t>PN-104</t>
  </si>
  <si>
    <t>Vela de ignição</t>
  </si>
  <si>
    <t>Cessna 152</t>
  </si>
  <si>
    <t>PN-105</t>
  </si>
  <si>
    <t>Sensor de pressão</t>
  </si>
  <si>
    <t>Instrumentos</t>
  </si>
  <si>
    <t>PN-106</t>
  </si>
  <si>
    <t>Junta de vedação</t>
  </si>
  <si>
    <t>PN-107</t>
  </si>
  <si>
    <t>Rolamento de roda</t>
  </si>
  <si>
    <t>Trem de pouso</t>
  </si>
  <si>
    <t>PN-108</t>
  </si>
  <si>
    <t>Fluido hidráulico</t>
  </si>
  <si>
    <t>PN-109</t>
  </si>
  <si>
    <t>Lâmpada de navegação</t>
  </si>
  <si>
    <t>Elétrica</t>
  </si>
  <si>
    <t>PN-110</t>
  </si>
  <si>
    <t>Elemento filtrante</t>
  </si>
  <si>
    <t>Combustível</t>
  </si>
  <si>
    <t>PN-111</t>
  </si>
  <si>
    <t>Conector elétrico</t>
  </si>
  <si>
    <t>PN-112</t>
  </si>
  <si>
    <t>Tubo flexível</t>
  </si>
  <si>
    <t>PN-113</t>
  </si>
  <si>
    <t>Disco de freio</t>
  </si>
  <si>
    <t>PN-114</t>
  </si>
  <si>
    <t>Interruptor de pressão</t>
  </si>
  <si>
    <t>PN-115</t>
  </si>
  <si>
    <t>Vedação O-ring</t>
  </si>
  <si>
    <t>PN-116</t>
  </si>
  <si>
    <t>Bateria auxiliar</t>
  </si>
  <si>
    <t>PN-117</t>
  </si>
  <si>
    <t>Cabo de comando</t>
  </si>
  <si>
    <t>Controles</t>
  </si>
  <si>
    <t>PN-118</t>
  </si>
  <si>
    <t>Filtro de ar</t>
  </si>
  <si>
    <t>PN-119</t>
  </si>
  <si>
    <t>Sensor temperatura</t>
  </si>
  <si>
    <t>PN-120</t>
  </si>
  <si>
    <t>Parafuso aeronáutico</t>
  </si>
  <si>
    <t>Estrutura</t>
  </si>
  <si>
    <t>ROTEIRO DE ATIVIDADE | EXCEL V</t>
  </si>
  <si>
    <t>Cenário</t>
  </si>
  <si>
    <t>Você integra uma equipe de controle de materiais de manutenção aeronáutica. Os dados são fictícios.</t>
  </si>
  <si>
    <t>Objetivo</t>
  </si>
  <si>
    <t>Criar alertas automáticos para estoque, inspeções e liberação de peças.</t>
  </si>
  <si>
    <t>1. Explore</t>
  </si>
  <si>
    <t>Observe os dados nas colunas A:H e altere quantidades e datas para testar os alertas.</t>
  </si>
  <si>
    <t>2. SE + SEERRO</t>
  </si>
  <si>
    <t>Em J9, compare estoque com mínimo e retorne REPOR ou OK; trate erros com SEERRO.</t>
  </si>
  <si>
    <t>3. SE aninhado</t>
  </si>
  <si>
    <t>Em K9, classifique dias restantes: VENCIDA (&lt;0), PRÓXIMA (0 a 15), EM DIA (&gt;15).</t>
  </si>
  <si>
    <t>4. OU</t>
  </si>
  <si>
    <t>Em L9, use OU para BLOQUEADO quando precisar repor OU a inspeção estiver vencida.</t>
  </si>
  <si>
    <t>5. E</t>
  </si>
  <si>
    <t>Em L9, use E para LIBERADO quando o estoque estiver OK E a inspeção EM DIA.</t>
  </si>
  <si>
    <t>6. Cores</t>
  </si>
  <si>
    <t>Aplique formatação condicional: vermelho (risco), amarelo (atenção), verde (regular).</t>
  </si>
  <si>
    <t>7. Teste</t>
  </si>
  <si>
    <t>Altere o estoque PN-101 para 8 e a data da próxima inspeção para 30 dias à frente.</t>
  </si>
  <si>
    <t>8. Desafio</t>
  </si>
  <si>
    <t>Adicione uma regra de alerta para inspeções a vencer em até 7 dias e conte os casos.</t>
  </si>
  <si>
    <t>Observação</t>
  </si>
  <si>
    <t>A coluna I usa HOJE(), portanto os alertas de prazo mudam automaticamente a cada dia.</t>
  </si>
  <si>
    <t>Segurança</t>
  </si>
  <si>
    <t>Este material é didático; não representa critérios reais de aeronavegabilidade ou liberação técnica.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</si>
</sst>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5"/>
      <color rgb="FFFFFFFF"/>
      <name val="Carlito"/>
    </font>
    <font>
      <sz val="11"/>
      <color rgb="FF183C5B"/>
      <name val="Carlito"/>
    </font>
    <font>
      <b/>
      <sz val="11"/>
      <color rgb="FFFFFFFF"/>
      <name val="Carlito"/>
    </font>
    <font>
      <b/>
      <sz val="17"/>
      <color rgb="FF102B46"/>
      <name val="Carlito"/>
    </font>
    <font>
      <b/>
      <sz val="16"/>
      <color rgb="FFFFFFFF"/>
      <name val="Carlito"/>
    </font>
    <font>
      <b/>
      <sz val="11"/>
      <color rgb="FF173C5B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02B46"/>
      </patternFill>
    </fill>
    <fill>
      <patternFill patternType="solid">
        <fgColor rgb="FFDCEAF4"/>
      </patternFill>
    </fill>
    <fill>
      <patternFill patternType="solid">
        <fgColor rgb="FF255879"/>
      </patternFill>
    </fill>
    <fill>
      <patternFill patternType="solid">
        <fgColor rgb="FFEDF4F8"/>
      </patternFill>
    </fill>
    <fill>
      <patternFill patternType="solid">
        <fgColor rgb="FF173C5B"/>
      </patternFill>
    </fill>
    <fill>
      <patternFill patternType="solid">
        <fgColor rgb="FF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3" fillId="6" borderId="0" xfId="0" applyFont="1" applyFill="1" applyAlignment="1">
      <alignment wrapText="1"/>
    </xf>
    <xf numFmtId="14" fontId="0" fillId="0" borderId="0" xfId="0" applyNumberFormat="1"/>
    <xf numFmtId="1" fontId="0" fillId="0" borderId="0" xfId="0" applyNumberFormat="1"/>
    <xf numFmtId="0" fontId="0" fillId="7" borderId="0" xfId="0" applyFill="1"/>
    <xf numFmtId="0" fontId="6" fillId="3" borderId="0" xfId="0" applyFont="1" applyFill="1"/>
    <xf numFmtId="0" fontId="0" fillId="0" borderId="0" xfId="0" applyAlignment="1">
      <alignment wrapText="1"/>
    </xf>
    <xf numFmtId="0" fontId="1" fillId="2" borderId="0" xfId="0" applyFont="1" applyFill="1"/>
    <xf numFmtId="0" fontId="2" fillId="3" borderId="0" xfId="0" applyFont="1" applyFill="1"/>
    <xf numFmtId="0" fontId="5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40" zoomScaleNormal="40" workbookViewId="0">
      <pane ySplit="8" topLeftCell="A9" activePane="bottomLeft" state="frozen"/>
      <selection pane="bottomLeft" activeCell="A5" sqref="A5"/>
    </sheetView>
  </sheetViews>
  <sheetFormatPr defaultRowHeight="14.5" x14ac:dyDescent="0.35"/>
  <cols>
    <col min="1" max="1" width="21.453125" bestFit="1" customWidth="1"/>
    <col min="2" max="2" width="20.90625" bestFit="1" customWidth="1"/>
    <col min="3" max="3" width="29.90625" bestFit="1" customWidth="1"/>
    <col min="4" max="4" width="24.26953125" bestFit="1" customWidth="1"/>
    <col min="5" max="5" width="8.26953125" bestFit="1" customWidth="1"/>
    <col min="6" max="6" width="8.453125" customWidth="1"/>
    <col min="7" max="7" width="15" bestFit="1" customWidth="1"/>
    <col min="8" max="8" width="16.6328125" bestFit="1" customWidth="1"/>
    <col min="9" max="9" width="13.7265625" bestFit="1" customWidth="1"/>
    <col min="10" max="10" width="10.26953125" bestFit="1" customWidth="1"/>
    <col min="11" max="11" width="9" bestFit="1" customWidth="1"/>
    <col min="12" max="12" width="12.6328125" bestFit="1" customWidth="1"/>
  </cols>
  <sheetData>
    <row r="1" spans="1:12" ht="34" customHeight="1" x14ac:dyDescent="0.4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6.15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27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12" ht="34" customHeight="1" x14ac:dyDescent="0.5">
      <c r="A5" s="2">
        <f>COUNTA(A9:A28)</f>
        <v>20</v>
      </c>
      <c r="B5" s="2">
        <f>COUNTIF(J9:J28,"Repor")</f>
        <v>7</v>
      </c>
      <c r="C5" s="2">
        <f ca="1">COUNTIF(K9:K28,"&lt;&gt;Em dia")</f>
        <v>10</v>
      </c>
      <c r="D5" s="2">
        <f ca="1">COUNTIF(L9:L28,"Bloqueado")</f>
        <v>8</v>
      </c>
    </row>
    <row r="8" spans="1:12" ht="32.15" customHeight="1" x14ac:dyDescent="0.35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</row>
    <row r="9" spans="1:12" ht="24" customHeight="1" x14ac:dyDescent="0.35">
      <c r="A9" t="s">
        <v>18</v>
      </c>
      <c r="B9" t="s">
        <v>19</v>
      </c>
      <c r="C9" t="s">
        <v>20</v>
      </c>
      <c r="D9" t="s">
        <v>21</v>
      </c>
      <c r="E9" s="6">
        <v>3</v>
      </c>
      <c r="F9" s="6">
        <v>5</v>
      </c>
      <c r="G9" s="4">
        <v>46101</v>
      </c>
      <c r="H9" s="4">
        <v>46299</v>
      </c>
      <c r="I9" s="5">
        <f ca="1">H9-TODAY()</f>
        <v>-12</v>
      </c>
      <c r="J9" t="str">
        <f>IF(E9&lt;F9,"Repor","Ok")</f>
        <v>Repor</v>
      </c>
      <c r="K9" t="str">
        <f ca="1">IF(I9&lt;0,"Vencida",IF(I9&lt;=15,"Próxima","Em dia"))</f>
        <v>Vencida</v>
      </c>
      <c r="L9" t="str">
        <f ca="1">IF(AND(J9="Ok",K9="Em dia"),"Liberado",IF(OR(J9="Repor",K9="Vencida"),"Bloqueado","Atenção"))</f>
        <v>Bloqueado</v>
      </c>
    </row>
    <row r="10" spans="1:12" ht="24" customHeight="1" x14ac:dyDescent="0.35">
      <c r="A10" t="s">
        <v>22</v>
      </c>
      <c r="B10" t="s">
        <v>23</v>
      </c>
      <c r="C10" t="s">
        <v>24</v>
      </c>
      <c r="D10" t="s">
        <v>25</v>
      </c>
      <c r="E10" s="6">
        <v>12</v>
      </c>
      <c r="F10" s="6">
        <v>6</v>
      </c>
      <c r="G10" s="4">
        <v>46221</v>
      </c>
      <c r="H10" s="4">
        <v>46336</v>
      </c>
      <c r="I10" s="5">
        <f t="shared" ref="I10:I28" ca="1" si="0">H10-TODAY()</f>
        <v>25</v>
      </c>
      <c r="J10" t="str">
        <f t="shared" ref="J10:J20" si="1">IF(E10&lt;F10,"Repor","Ok")</f>
        <v>Ok</v>
      </c>
      <c r="K10" t="str">
        <f t="shared" ref="K10:K28" ca="1" si="2">IF(I10&lt;0,"Vencida",IF(I10&lt;=15,"Próxima","Em dia"))</f>
        <v>Em dia</v>
      </c>
      <c r="L10" t="str">
        <f t="shared" ref="L10:L28" ca="1" si="3">IF(AND(J10="Ok",K10="Em dia"),"Liberado",IF(OR(J10="Repor",K10="Vencida"),"Bloqueado","Atenção"))</f>
        <v>Liberado</v>
      </c>
    </row>
    <row r="11" spans="1:12" ht="24" customHeight="1" x14ac:dyDescent="0.35">
      <c r="A11" t="s">
        <v>26</v>
      </c>
      <c r="B11" t="s">
        <v>27</v>
      </c>
      <c r="C11" t="s">
        <v>28</v>
      </c>
      <c r="D11" t="s">
        <v>29</v>
      </c>
      <c r="E11" s="6">
        <v>2</v>
      </c>
      <c r="F11" s="6">
        <v>4</v>
      </c>
      <c r="G11" s="4">
        <v>46151</v>
      </c>
      <c r="H11" s="4">
        <v>46319</v>
      </c>
      <c r="I11" s="5">
        <f t="shared" ca="1" si="0"/>
        <v>8</v>
      </c>
      <c r="J11" t="str">
        <f t="shared" si="1"/>
        <v>Repor</v>
      </c>
      <c r="K11" t="str">
        <f t="shared" ca="1" si="2"/>
        <v>Próxima</v>
      </c>
      <c r="L11" t="str">
        <f t="shared" ca="1" si="3"/>
        <v>Bloqueado</v>
      </c>
    </row>
    <row r="12" spans="1:12" ht="24" customHeight="1" x14ac:dyDescent="0.35">
      <c r="A12" t="s">
        <v>30</v>
      </c>
      <c r="B12" t="s">
        <v>31</v>
      </c>
      <c r="C12" t="s">
        <v>20</v>
      </c>
      <c r="D12" t="s">
        <v>32</v>
      </c>
      <c r="E12" s="6">
        <v>18</v>
      </c>
      <c r="F12" s="6">
        <v>10</v>
      </c>
      <c r="G12" s="4">
        <v>46181</v>
      </c>
      <c r="H12" s="4">
        <v>46361</v>
      </c>
      <c r="I12" s="5">
        <f t="shared" ca="1" si="0"/>
        <v>50</v>
      </c>
      <c r="J12" t="str">
        <f t="shared" si="1"/>
        <v>Ok</v>
      </c>
      <c r="K12" t="str">
        <f t="shared" ca="1" si="2"/>
        <v>Em dia</v>
      </c>
      <c r="L12" t="str">
        <f t="shared" ca="1" si="3"/>
        <v>Liberado</v>
      </c>
    </row>
    <row r="13" spans="1:12" ht="24" customHeight="1" x14ac:dyDescent="0.35">
      <c r="A13" t="s">
        <v>33</v>
      </c>
      <c r="B13" t="s">
        <v>34</v>
      </c>
      <c r="C13" t="s">
        <v>35</v>
      </c>
      <c r="D13" t="s">
        <v>21</v>
      </c>
      <c r="E13" s="6">
        <v>0</v>
      </c>
      <c r="F13" s="6">
        <v>2</v>
      </c>
      <c r="G13" s="4">
        <v>46011</v>
      </c>
      <c r="H13" s="4">
        <v>46308</v>
      </c>
      <c r="I13" s="5">
        <f t="shared" ca="1" si="0"/>
        <v>-3</v>
      </c>
      <c r="J13" t="str">
        <f t="shared" si="1"/>
        <v>Repor</v>
      </c>
      <c r="K13" t="str">
        <f t="shared" ca="1" si="2"/>
        <v>Vencida</v>
      </c>
      <c r="L13" t="str">
        <f t="shared" ca="1" si="3"/>
        <v>Bloqueado</v>
      </c>
    </row>
    <row r="14" spans="1:12" ht="24" customHeight="1" x14ac:dyDescent="0.35">
      <c r="A14" t="s">
        <v>36</v>
      </c>
      <c r="B14" t="s">
        <v>37</v>
      </c>
      <c r="C14" t="s">
        <v>20</v>
      </c>
      <c r="D14" t="s">
        <v>25</v>
      </c>
      <c r="E14" s="6">
        <v>9</v>
      </c>
      <c r="F14" s="6">
        <v>8</v>
      </c>
      <c r="G14" s="4">
        <v>46236</v>
      </c>
      <c r="H14" s="4">
        <v>46323</v>
      </c>
      <c r="I14" s="5">
        <f t="shared" ca="1" si="0"/>
        <v>12</v>
      </c>
      <c r="J14" t="str">
        <f t="shared" si="1"/>
        <v>Ok</v>
      </c>
      <c r="K14" t="str">
        <f t="shared" ca="1" si="2"/>
        <v>Próxima</v>
      </c>
      <c r="L14" t="str">
        <f t="shared" ca="1" si="3"/>
        <v>Atenção</v>
      </c>
    </row>
    <row r="15" spans="1:12" ht="24" customHeight="1" x14ac:dyDescent="0.35">
      <c r="A15" t="s">
        <v>38</v>
      </c>
      <c r="B15" t="s">
        <v>39</v>
      </c>
      <c r="C15" t="s">
        <v>40</v>
      </c>
      <c r="D15" t="s">
        <v>21</v>
      </c>
      <c r="E15" s="6">
        <v>4</v>
      </c>
      <c r="F15" s="6">
        <v>4</v>
      </c>
      <c r="G15" s="4">
        <v>46161</v>
      </c>
      <c r="H15" s="4">
        <v>46351</v>
      </c>
      <c r="I15" s="5">
        <f t="shared" ca="1" si="0"/>
        <v>40</v>
      </c>
      <c r="J15" t="str">
        <f t="shared" si="1"/>
        <v>Ok</v>
      </c>
      <c r="K15" t="str">
        <f t="shared" ca="1" si="2"/>
        <v>Em dia</v>
      </c>
      <c r="L15" t="str">
        <f t="shared" ca="1" si="3"/>
        <v>Liberado</v>
      </c>
    </row>
    <row r="16" spans="1:12" ht="24" customHeight="1" x14ac:dyDescent="0.35">
      <c r="A16" t="s">
        <v>41</v>
      </c>
      <c r="B16" t="s">
        <v>42</v>
      </c>
      <c r="C16" t="s">
        <v>28</v>
      </c>
      <c r="D16" t="s">
        <v>29</v>
      </c>
      <c r="E16" s="6">
        <v>7</v>
      </c>
      <c r="F16" s="6">
        <v>10</v>
      </c>
      <c r="G16" s="4">
        <v>46241</v>
      </c>
      <c r="H16" s="4">
        <v>46317</v>
      </c>
      <c r="I16" s="5">
        <f t="shared" ca="1" si="0"/>
        <v>6</v>
      </c>
      <c r="J16" t="str">
        <f t="shared" si="1"/>
        <v>Repor</v>
      </c>
      <c r="K16" t="str">
        <f t="shared" ca="1" si="2"/>
        <v>Próxima</v>
      </c>
      <c r="L16" t="str">
        <f t="shared" ca="1" si="3"/>
        <v>Bloqueado</v>
      </c>
    </row>
    <row r="17" spans="1:12" ht="24" customHeight="1" x14ac:dyDescent="0.35">
      <c r="A17" t="s">
        <v>43</v>
      </c>
      <c r="B17" t="s">
        <v>44</v>
      </c>
      <c r="C17" t="s">
        <v>45</v>
      </c>
      <c r="D17" t="s">
        <v>25</v>
      </c>
      <c r="E17" s="6">
        <v>15</v>
      </c>
      <c r="F17" s="6">
        <v>5</v>
      </c>
      <c r="G17" s="4">
        <v>46266</v>
      </c>
      <c r="H17" s="4">
        <v>46401</v>
      </c>
      <c r="I17" s="5">
        <f t="shared" ca="1" si="0"/>
        <v>90</v>
      </c>
      <c r="J17" t="str">
        <f t="shared" si="1"/>
        <v>Ok</v>
      </c>
      <c r="K17" t="str">
        <f t="shared" ca="1" si="2"/>
        <v>Em dia</v>
      </c>
      <c r="L17" t="str">
        <f t="shared" ca="1" si="3"/>
        <v>Liberado</v>
      </c>
    </row>
    <row r="18" spans="1:12" ht="24" customHeight="1" x14ac:dyDescent="0.35">
      <c r="A18" t="s">
        <v>46</v>
      </c>
      <c r="B18" t="s">
        <v>47</v>
      </c>
      <c r="C18" t="s">
        <v>48</v>
      </c>
      <c r="D18" t="s">
        <v>32</v>
      </c>
      <c r="E18" s="6">
        <v>1</v>
      </c>
      <c r="F18" s="6">
        <v>3</v>
      </c>
      <c r="G18" s="4">
        <v>46141</v>
      </c>
      <c r="H18" s="4">
        <v>46310</v>
      </c>
      <c r="I18" s="5">
        <f t="shared" ca="1" si="0"/>
        <v>-1</v>
      </c>
      <c r="J18" t="str">
        <f t="shared" si="1"/>
        <v>Repor</v>
      </c>
      <c r="K18" t="str">
        <f t="shared" ca="1" si="2"/>
        <v>Vencida</v>
      </c>
      <c r="L18" t="str">
        <f t="shared" ca="1" si="3"/>
        <v>Bloqueado</v>
      </c>
    </row>
    <row r="19" spans="1:12" ht="24" customHeight="1" x14ac:dyDescent="0.35">
      <c r="A19" t="s">
        <v>49</v>
      </c>
      <c r="B19" t="s">
        <v>50</v>
      </c>
      <c r="C19" t="s">
        <v>45</v>
      </c>
      <c r="D19" t="s">
        <v>21</v>
      </c>
      <c r="E19" s="6">
        <v>22</v>
      </c>
      <c r="F19" s="6">
        <v>12</v>
      </c>
      <c r="G19" s="4">
        <v>46191</v>
      </c>
      <c r="H19" s="4">
        <v>46341</v>
      </c>
      <c r="I19" s="5">
        <f t="shared" ca="1" si="0"/>
        <v>30</v>
      </c>
      <c r="J19" t="str">
        <f t="shared" si="1"/>
        <v>Ok</v>
      </c>
      <c r="K19" t="str">
        <f t="shared" ca="1" si="2"/>
        <v>Em dia</v>
      </c>
      <c r="L19" t="str">
        <f t="shared" ca="1" si="3"/>
        <v>Liberado</v>
      </c>
    </row>
    <row r="20" spans="1:12" ht="24" customHeight="1" x14ac:dyDescent="0.35">
      <c r="A20" t="s">
        <v>51</v>
      </c>
      <c r="B20" t="s">
        <v>52</v>
      </c>
      <c r="C20" t="s">
        <v>48</v>
      </c>
      <c r="D20" t="s">
        <v>25</v>
      </c>
      <c r="E20" s="6">
        <v>5</v>
      </c>
      <c r="F20" s="6">
        <v>5</v>
      </c>
      <c r="G20" s="4">
        <v>46251</v>
      </c>
      <c r="H20" s="4">
        <v>46325</v>
      </c>
      <c r="I20" s="5">
        <f t="shared" ca="1" si="0"/>
        <v>14</v>
      </c>
      <c r="J20" t="str">
        <f t="shared" si="1"/>
        <v>Ok</v>
      </c>
      <c r="K20" t="str">
        <f t="shared" ca="1" si="2"/>
        <v>Próxima</v>
      </c>
      <c r="L20" t="str">
        <f t="shared" ca="1" si="3"/>
        <v>Atenção</v>
      </c>
    </row>
    <row r="21" spans="1:12" ht="24" customHeight="1" x14ac:dyDescent="0.35">
      <c r="A21" t="s">
        <v>53</v>
      </c>
      <c r="B21" t="s">
        <v>54</v>
      </c>
      <c r="C21" t="s">
        <v>24</v>
      </c>
      <c r="D21" t="s">
        <v>21</v>
      </c>
      <c r="E21" s="6">
        <v>2</v>
      </c>
      <c r="F21" s="6">
        <v>2</v>
      </c>
      <c r="G21" s="4">
        <v>46131</v>
      </c>
      <c r="H21" s="4">
        <v>46314</v>
      </c>
      <c r="I21" s="5">
        <f t="shared" ca="1" si="0"/>
        <v>3</v>
      </c>
      <c r="J21" t="str">
        <f>IF(E21&lt;F21,"Repor","Ok")</f>
        <v>Ok</v>
      </c>
      <c r="K21" t="str">
        <f t="shared" ca="1" si="2"/>
        <v>Próxima</v>
      </c>
      <c r="L21" t="str">
        <f t="shared" ca="1" si="3"/>
        <v>Atenção</v>
      </c>
    </row>
    <row r="22" spans="1:12" ht="24" customHeight="1" x14ac:dyDescent="0.35">
      <c r="A22" t="s">
        <v>55</v>
      </c>
      <c r="B22" t="s">
        <v>56</v>
      </c>
      <c r="C22" t="s">
        <v>35</v>
      </c>
      <c r="D22" t="s">
        <v>29</v>
      </c>
      <c r="E22" s="6">
        <v>6</v>
      </c>
      <c r="F22" s="6">
        <v>3</v>
      </c>
      <c r="G22" s="4">
        <v>46211</v>
      </c>
      <c r="H22" s="4">
        <v>46356</v>
      </c>
      <c r="I22" s="5">
        <f t="shared" ca="1" si="0"/>
        <v>45</v>
      </c>
      <c r="J22" t="str">
        <f t="shared" ref="J22:J28" si="4">IF(E22&lt;F22,"Repor","Ok")</f>
        <v>Ok</v>
      </c>
      <c r="K22" t="str">
        <f t="shared" ca="1" si="2"/>
        <v>Em dia</v>
      </c>
      <c r="L22" t="str">
        <f t="shared" ca="1" si="3"/>
        <v>Liberado</v>
      </c>
    </row>
    <row r="23" spans="1:12" ht="24" customHeight="1" x14ac:dyDescent="0.35">
      <c r="A23" t="s">
        <v>57</v>
      </c>
      <c r="B23" t="s">
        <v>58</v>
      </c>
      <c r="C23" t="s">
        <v>28</v>
      </c>
      <c r="D23" t="s">
        <v>25</v>
      </c>
      <c r="E23" s="6">
        <v>1</v>
      </c>
      <c r="F23" s="6">
        <v>8</v>
      </c>
      <c r="G23" s="4">
        <v>46246</v>
      </c>
      <c r="H23" s="4">
        <v>46333</v>
      </c>
      <c r="I23" s="5">
        <f t="shared" ca="1" si="0"/>
        <v>22</v>
      </c>
      <c r="J23" t="str">
        <f t="shared" si="4"/>
        <v>Repor</v>
      </c>
      <c r="K23" t="str">
        <f t="shared" ca="1" si="2"/>
        <v>Em dia</v>
      </c>
      <c r="L23" t="str">
        <f t="shared" ca="1" si="3"/>
        <v>Bloqueado</v>
      </c>
    </row>
    <row r="24" spans="1:12" ht="24" customHeight="1" x14ac:dyDescent="0.35">
      <c r="A24" t="s">
        <v>59</v>
      </c>
      <c r="B24" t="s">
        <v>60</v>
      </c>
      <c r="C24" t="s">
        <v>45</v>
      </c>
      <c r="D24" t="s">
        <v>32</v>
      </c>
      <c r="E24" s="6">
        <v>3</v>
      </c>
      <c r="F24" s="6">
        <v>2</v>
      </c>
      <c r="G24" s="4">
        <v>46231</v>
      </c>
      <c r="H24" s="4">
        <v>46304</v>
      </c>
      <c r="I24" s="5">
        <f t="shared" ca="1" si="0"/>
        <v>-7</v>
      </c>
      <c r="J24" t="str">
        <f t="shared" si="4"/>
        <v>Ok</v>
      </c>
      <c r="K24" t="str">
        <f t="shared" ca="1" si="2"/>
        <v>Vencida</v>
      </c>
      <c r="L24" t="str">
        <f t="shared" ca="1" si="3"/>
        <v>Bloqueado</v>
      </c>
    </row>
    <row r="25" spans="1:12" ht="24" customHeight="1" x14ac:dyDescent="0.35">
      <c r="A25" t="s">
        <v>61</v>
      </c>
      <c r="B25" t="s">
        <v>62</v>
      </c>
      <c r="C25" t="s">
        <v>63</v>
      </c>
      <c r="D25" t="s">
        <v>21</v>
      </c>
      <c r="E25" s="6">
        <v>8</v>
      </c>
      <c r="F25" s="6">
        <v>4</v>
      </c>
      <c r="G25" s="4">
        <v>46201</v>
      </c>
      <c r="H25" s="4">
        <v>46376</v>
      </c>
      <c r="I25" s="5">
        <f t="shared" ca="1" si="0"/>
        <v>65</v>
      </c>
      <c r="J25" t="str">
        <f t="shared" si="4"/>
        <v>Ok</v>
      </c>
      <c r="K25" t="str">
        <f t="shared" ca="1" si="2"/>
        <v>Em dia</v>
      </c>
      <c r="L25" t="str">
        <f t="shared" ca="1" si="3"/>
        <v>Liberado</v>
      </c>
    </row>
    <row r="26" spans="1:12" ht="24" customHeight="1" x14ac:dyDescent="0.35">
      <c r="A26" t="s">
        <v>64</v>
      </c>
      <c r="B26" t="s">
        <v>65</v>
      </c>
      <c r="C26" t="s">
        <v>20</v>
      </c>
      <c r="D26" t="s">
        <v>25</v>
      </c>
      <c r="E26" s="6">
        <v>6</v>
      </c>
      <c r="F26" s="6">
        <v>6</v>
      </c>
      <c r="G26" s="4">
        <v>46191</v>
      </c>
      <c r="H26" s="4">
        <v>46320</v>
      </c>
      <c r="I26" s="5">
        <f t="shared" ca="1" si="0"/>
        <v>9</v>
      </c>
      <c r="J26" t="str">
        <f t="shared" si="4"/>
        <v>Ok</v>
      </c>
      <c r="K26" t="str">
        <f t="shared" ca="1" si="2"/>
        <v>Próxima</v>
      </c>
      <c r="L26" t="str">
        <f t="shared" ca="1" si="3"/>
        <v>Atenção</v>
      </c>
    </row>
    <row r="27" spans="1:12" ht="24" customHeight="1" x14ac:dyDescent="0.35">
      <c r="A27" t="s">
        <v>66</v>
      </c>
      <c r="B27" t="s">
        <v>67</v>
      </c>
      <c r="C27" t="s">
        <v>35</v>
      </c>
      <c r="D27" t="s">
        <v>32</v>
      </c>
      <c r="E27" s="6">
        <v>2</v>
      </c>
      <c r="F27" s="6">
        <v>3</v>
      </c>
      <c r="G27" s="4">
        <v>46231</v>
      </c>
      <c r="H27" s="4">
        <v>46391</v>
      </c>
      <c r="I27" s="5">
        <f t="shared" ca="1" si="0"/>
        <v>80</v>
      </c>
      <c r="J27" t="str">
        <f t="shared" si="4"/>
        <v>Repor</v>
      </c>
      <c r="K27" t="str">
        <f t="shared" ca="1" si="2"/>
        <v>Em dia</v>
      </c>
      <c r="L27" t="str">
        <f t="shared" ca="1" si="3"/>
        <v>Bloqueado</v>
      </c>
    </row>
    <row r="28" spans="1:12" ht="24" customHeight="1" x14ac:dyDescent="0.35">
      <c r="A28" t="s">
        <v>68</v>
      </c>
      <c r="B28" t="s">
        <v>69</v>
      </c>
      <c r="C28" t="s">
        <v>70</v>
      </c>
      <c r="D28" t="s">
        <v>29</v>
      </c>
      <c r="E28" s="6">
        <v>60</v>
      </c>
      <c r="F28" s="6">
        <v>30</v>
      </c>
      <c r="G28" s="4">
        <v>46261</v>
      </c>
      <c r="H28" s="4">
        <v>46431</v>
      </c>
      <c r="I28" s="5">
        <f t="shared" ca="1" si="0"/>
        <v>120</v>
      </c>
      <c r="J28" t="str">
        <f t="shared" si="4"/>
        <v>Ok</v>
      </c>
      <c r="K28" t="str">
        <f t="shared" ca="1" si="2"/>
        <v>Em dia</v>
      </c>
      <c r="L28" t="str">
        <f t="shared" ca="1" si="3"/>
        <v>Liberado</v>
      </c>
    </row>
  </sheetData>
  <mergeCells count="2">
    <mergeCell ref="A1:L1"/>
    <mergeCell ref="A2:L2"/>
  </mergeCells>
  <conditionalFormatting sqref="J9:J28">
    <cfRule type="cellIs" dxfId="0" priority="1" operator="equal">
      <formula>"Repor"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sqref="A1:F1"/>
    </sheetView>
  </sheetViews>
  <sheetFormatPr defaultRowHeight="14.5" x14ac:dyDescent="0.35"/>
  <cols>
    <col min="1" max="1" width="22" customWidth="1"/>
    <col min="2" max="2" width="105" customWidth="1"/>
  </cols>
  <sheetData>
    <row r="1" spans="1:6" ht="36" customHeight="1" x14ac:dyDescent="0.5">
      <c r="A1" s="11" t="s">
        <v>71</v>
      </c>
      <c r="B1" s="11"/>
      <c r="C1" s="11"/>
      <c r="D1" s="11"/>
      <c r="E1" s="11"/>
      <c r="F1" s="11"/>
    </row>
    <row r="3" spans="1:6" ht="38.15" customHeight="1" x14ac:dyDescent="0.35">
      <c r="A3" s="7" t="s">
        <v>72</v>
      </c>
      <c r="B3" s="8" t="s">
        <v>73</v>
      </c>
    </row>
    <row r="4" spans="1:6" ht="38.15" customHeight="1" x14ac:dyDescent="0.35">
      <c r="A4" s="7" t="s">
        <v>74</v>
      </c>
      <c r="B4" s="8" t="s">
        <v>75</v>
      </c>
    </row>
    <row r="5" spans="1:6" ht="38.15" customHeight="1" x14ac:dyDescent="0.35">
      <c r="A5" s="7" t="s">
        <v>76</v>
      </c>
      <c r="B5" s="8" t="s">
        <v>77</v>
      </c>
    </row>
    <row r="6" spans="1:6" ht="38.15" customHeight="1" x14ac:dyDescent="0.35">
      <c r="A6" s="7" t="s">
        <v>78</v>
      </c>
      <c r="B6" s="8" t="s">
        <v>79</v>
      </c>
    </row>
    <row r="7" spans="1:6" ht="38.15" customHeight="1" x14ac:dyDescent="0.35">
      <c r="A7" s="7" t="s">
        <v>80</v>
      </c>
      <c r="B7" s="8" t="s">
        <v>81</v>
      </c>
    </row>
    <row r="8" spans="1:6" ht="38.15" customHeight="1" x14ac:dyDescent="0.35">
      <c r="A8" s="7" t="s">
        <v>82</v>
      </c>
      <c r="B8" s="8" t="s">
        <v>83</v>
      </c>
    </row>
    <row r="9" spans="1:6" ht="38.15" customHeight="1" x14ac:dyDescent="0.35">
      <c r="A9" s="7" t="s">
        <v>84</v>
      </c>
      <c r="B9" s="8" t="s">
        <v>85</v>
      </c>
    </row>
    <row r="10" spans="1:6" ht="38.15" customHeight="1" x14ac:dyDescent="0.35">
      <c r="A10" s="7" t="s">
        <v>86</v>
      </c>
      <c r="B10" s="8" t="s">
        <v>87</v>
      </c>
    </row>
    <row r="11" spans="1:6" ht="38.15" customHeight="1" x14ac:dyDescent="0.35">
      <c r="A11" s="7" t="s">
        <v>88</v>
      </c>
      <c r="B11" s="8" t="s">
        <v>89</v>
      </c>
    </row>
    <row r="12" spans="1:6" ht="38.15" customHeight="1" x14ac:dyDescent="0.35">
      <c r="A12" s="7" t="s">
        <v>90</v>
      </c>
      <c r="B12" s="8" t="s">
        <v>91</v>
      </c>
    </row>
    <row r="13" spans="1:6" ht="38.15" customHeight="1" x14ac:dyDescent="0.35">
      <c r="A13" s="7" t="s">
        <v>92</v>
      </c>
      <c r="B13" s="8" t="s">
        <v>93</v>
      </c>
    </row>
    <row r="14" spans="1:6" ht="38.15" customHeight="1" x14ac:dyDescent="0.35">
      <c r="A14" s="7" t="s">
        <v>94</v>
      </c>
      <c r="B14" s="8" t="s">
        <v>95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3" ma:contentTypeDescription="Crie um novo documento." ma:contentTypeScope="" ma:versionID="81fa379c16276b21aa95b0bba487e0d8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723e5ea99451f57ad090176ed3370c4a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5D6E4E-C2BF-4EFB-8A6C-9F5D23C4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D1ACA4-732E-45C8-B069-7BB073575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4e9f2-b7ec-4ccc-a69c-51d3e3635b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A4E1FF-E41A-4715-88D2-B9E5064B13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Peças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 aluno</cp:lastModifiedBy>
  <dcterms:created xsi:type="dcterms:W3CDTF">2026-10-16T12:31:36Z</dcterms:created>
  <dcterms:modified xsi:type="dcterms:W3CDTF">2026-10-16T12:31:36Z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2026-10-16T11:08:55Z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96c67ece-b6d5-462b-bd70-b284787550a3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  <property fmtid="{D5CDD505-2E9C-101B-9397-08002B2CF9AE}" pid="10" name="ContentTypeId">
    <vt:lpwstr>0x01010078A2D2C2733B7342A34F941B973AA6E6</vt:lpwstr>
  </property>
</Properties>
</file>